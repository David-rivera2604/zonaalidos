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uradu\LAURADU\Desktop\CONTA\2. INFORMACION\Informes SUGESE\2025\"/>
    </mc:Choice>
  </mc:AlternateContent>
  <xr:revisionPtr revIDLastSave="0" documentId="13_ncr:1_{990C2391-9AA6-4769-992E-96C5F16671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eta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G56" i="1" s="1"/>
  <c r="G58" i="1" s="1"/>
  <c r="F39" i="1"/>
  <c r="E39" i="1"/>
  <c r="D39" i="1"/>
  <c r="C39" i="1"/>
  <c r="F32" i="1"/>
  <c r="E32" i="1"/>
  <c r="D32" i="1"/>
  <c r="C32" i="1"/>
  <c r="G22" i="1"/>
  <c r="G24" i="1" s="1"/>
  <c r="G26" i="1" s="1"/>
  <c r="F22" i="1"/>
  <c r="F24" i="1" s="1"/>
  <c r="F26" i="1" s="1"/>
  <c r="E22" i="1"/>
  <c r="E24" i="1" s="1"/>
  <c r="E26" i="1" s="1"/>
  <c r="D22" i="1"/>
  <c r="D24" i="1" s="1"/>
  <c r="C22" i="1"/>
  <c r="C24" i="1" s="1"/>
  <c r="C26" i="1" s="1"/>
  <c r="C56" i="1" l="1"/>
  <c r="D56" i="1"/>
  <c r="E56" i="1"/>
  <c r="F56" i="1"/>
  <c r="E58" i="1" l="1"/>
  <c r="F58" i="1"/>
  <c r="D58" i="1"/>
  <c r="C58" i="1"/>
</calcChain>
</file>

<file path=xl/sharedStrings.xml><?xml version="1.0" encoding="utf-8"?>
<sst xmlns="http://schemas.openxmlformats.org/spreadsheetml/2006/main" count="63" uniqueCount="55">
  <si>
    <t>Reservas</t>
  </si>
  <si>
    <t>Ajustes</t>
  </si>
  <si>
    <t>Cap Social</t>
  </si>
  <si>
    <t>Originados año actual</t>
  </si>
  <si>
    <t>Aportes no capitalizados</t>
  </si>
  <si>
    <t>Resultados principio periodo</t>
  </si>
  <si>
    <t>Saldo 1 ene año anterior</t>
  </si>
  <si>
    <t>Saldo corregido inicio año anterior</t>
  </si>
  <si>
    <t>Saldo 31 dic año anterior</t>
  </si>
  <si>
    <t>Saldo 1 ene año actual</t>
  </si>
  <si>
    <t>Saldo corregido inicio año actual</t>
  </si>
  <si>
    <t>Transferencias resultados año actual</t>
  </si>
  <si>
    <t>Saldo final año actual</t>
  </si>
  <si>
    <t>Atribuido intereses minoritarios fin actual</t>
  </si>
  <si>
    <t>Atribuido controladora fin actual</t>
  </si>
  <si>
    <t>Superávit reva inmueble mobiliario equipo neto</t>
  </si>
  <si>
    <t>Transferencia superávit</t>
  </si>
  <si>
    <t>Superávit reva inmueble mobiliario equipo transf actual</t>
  </si>
  <si>
    <t>Capital pagado adicional transf actual</t>
  </si>
  <si>
    <t>Emisión acciones transf actual</t>
  </si>
  <si>
    <t>Compra venta acciones tesorería transf actual</t>
  </si>
  <si>
    <t>Estimaciones riesgos act bancaria transf actual</t>
  </si>
  <si>
    <t>Dividendos periodo 1</t>
  </si>
  <si>
    <t>Reservas legales otras estatutarias transf actual</t>
  </si>
  <si>
    <t>Resultado periodo 2</t>
  </si>
  <si>
    <t>Ganancia perdida no reconocida periodo 2</t>
  </si>
  <si>
    <t>Otros transf actual</t>
  </si>
  <si>
    <t>Ajustes valuación instrumentos cesación pago transf actual</t>
  </si>
  <si>
    <t>Ajustes valuación instrumentos restringidos transf actual</t>
  </si>
  <si>
    <t>Ajustes valuación inversiones dispo venta transf actual</t>
  </si>
  <si>
    <t>Otros originados año actual</t>
  </si>
  <si>
    <t>Ajustes valuación instrumentos cesación pago orig actual</t>
  </si>
  <si>
    <t>Ajustes valuación instrumentos restringidos orig actual</t>
  </si>
  <si>
    <t>Ajustes valuación inversiones dispo venta orig actual</t>
  </si>
  <si>
    <t>Ajustes conversión estados financieros orig actual</t>
  </si>
  <si>
    <t>Corrección errores fundamentales rne actual</t>
  </si>
  <si>
    <t>Cambios políticas contables ene actual</t>
  </si>
  <si>
    <t>Atribuido controladora fin anterior</t>
  </si>
  <si>
    <t>Atribuido intereses minoritarios fin anterior</t>
  </si>
  <si>
    <t>Otros corregidos ini anterior</t>
  </si>
  <si>
    <t>Superávit reva otros activos</t>
  </si>
  <si>
    <t>Ajustes valuación instrumentos cesación pago ini anterior</t>
  </si>
  <si>
    <t>Ajustes valuación instrumentos restringidos ini anterior</t>
  </si>
  <si>
    <t>Ajustes valuación inversiones dispo venta ini anterior</t>
  </si>
  <si>
    <t>Superávit reva inmueble mobiliario equipo ini anterior</t>
  </si>
  <si>
    <t>Capital pagado adicional ini anterior</t>
  </si>
  <si>
    <t>Emisión acciones ini anterior</t>
  </si>
  <si>
    <t>Compra venta acciones tesorería ini anterior</t>
  </si>
  <si>
    <t>Reservas legales otras estatutarias ini anterior</t>
  </si>
  <si>
    <t>Estimaciones riesgos act bancaria ini anterior</t>
  </si>
  <si>
    <t>Dividendos periodo 0</t>
  </si>
  <si>
    <t>Resultados periodo 1</t>
  </si>
  <si>
    <t>Ajustes conversión estados financieros ini anterior</t>
  </si>
  <si>
    <t>Corrección errores fundamentales ene anterior</t>
  </si>
  <si>
    <t>Cambios políticas contables ene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</si>
</sst>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 wrapText="1"/>
    </xf>
    <xf numFmtId="4" fontId="0" fillId="4" borderId="0" xfId="0" applyNumberFormat="1" applyFill="1"/>
    <xf numFmtId="4" fontId="0" fillId="5" borderId="0" xfId="0" applyNumberFormat="1" applyFill="1"/>
    <xf numFmtId="4" fontId="0" fillId="6" borderId="0" xfId="0" applyNumberFormat="1" applyFill="1"/>
    <xf numFmtId="4" fontId="2" fillId="4" borderId="0" xfId="0" applyNumberFormat="1" applyFont="1" applyFill="1"/>
    <xf numFmtId="4" fontId="0" fillId="7" borderId="0" xfId="0" applyNumberFormat="1" applyFill="1"/>
    <xf numFmtId="4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zoomScale="70" zoomScaleNormal="70" workbookViewId="0">
      <selection activeCell="K22" sqref="K22"/>
    </sheetView>
  </sheetViews>
  <sheetFormatPr baseColWidth="10" defaultColWidth="9.1796875" defaultRowHeight="14.5" x14ac:dyDescent="0.35"/>
  <cols>
    <col min="1" max="1" width="33.54296875" bestFit="1" customWidth="1"/>
    <col min="2" max="2" width="52.7265625" bestFit="1" customWidth="1"/>
    <col min="3" max="3" width="22.36328125" bestFit="1" customWidth="1"/>
    <col min="4" max="4" width="13.1796875" bestFit="1" customWidth="1"/>
    <col min="5" max="5" width="20" bestFit="1" customWidth="1"/>
    <col min="6" max="6" width="19.1796875" bestFit="1" customWidth="1"/>
    <col min="7" max="7" width="21" bestFit="1" customWidth="1"/>
    <col min="8" max="8" width="11.54296875" bestFit="1" customWidth="1"/>
  </cols>
  <sheetData>
    <row r="1" spans="1:8" s="1" customFormat="1" ht="29" x14ac:dyDescent="0.35">
      <c r="C1" s="6" t="s">
        <v>2</v>
      </c>
      <c r="D1" s="6" t="s">
        <v>4</v>
      </c>
      <c r="E1" s="6" t="s">
        <v>1</v>
      </c>
      <c r="F1" s="6" t="s">
        <v>0</v>
      </c>
      <c r="G1" s="6" t="s">
        <v>5</v>
      </c>
    </row>
    <row r="2" spans="1:8" x14ac:dyDescent="0.35">
      <c r="A2" s="2" t="s">
        <v>6</v>
      </c>
      <c r="B2" s="2" t="s">
        <v>6</v>
      </c>
      <c r="C2" s="7">
        <v>10463269669.299999</v>
      </c>
      <c r="D2" s="7">
        <v>0</v>
      </c>
      <c r="E2" s="7">
        <v>212667993.12999988</v>
      </c>
      <c r="F2" s="7">
        <v>388015228.13999999</v>
      </c>
      <c r="G2" s="7">
        <v>4290515922.2200041</v>
      </c>
      <c r="H2" s="4"/>
    </row>
    <row r="3" spans="1:8" x14ac:dyDescent="0.35">
      <c r="A3" s="2"/>
      <c r="B3" s="2" t="s">
        <v>54</v>
      </c>
      <c r="C3" s="5">
        <v>0</v>
      </c>
      <c r="D3" s="5">
        <v>0</v>
      </c>
      <c r="E3" s="5">
        <v>0</v>
      </c>
      <c r="F3" s="5">
        <v>0</v>
      </c>
      <c r="G3" s="5">
        <v>0</v>
      </c>
    </row>
    <row r="4" spans="1:8" ht="14.25" customHeight="1" x14ac:dyDescent="0.35">
      <c r="A4" s="2"/>
      <c r="B4" s="2" t="s">
        <v>53</v>
      </c>
      <c r="C4" s="5">
        <v>0</v>
      </c>
      <c r="D4" s="5">
        <v>0</v>
      </c>
      <c r="E4" s="5">
        <v>0</v>
      </c>
      <c r="F4" s="5">
        <v>0</v>
      </c>
      <c r="G4" s="11">
        <v>-479895907.31000423</v>
      </c>
    </row>
    <row r="5" spans="1:8" ht="5.15" customHeight="1" x14ac:dyDescent="0.35">
      <c r="C5" s="5"/>
      <c r="D5" s="5"/>
      <c r="E5" s="5"/>
      <c r="F5" s="5"/>
      <c r="G5" s="5"/>
    </row>
    <row r="6" spans="1:8" x14ac:dyDescent="0.35">
      <c r="A6" s="3" t="s">
        <v>7</v>
      </c>
      <c r="B6" s="3" t="s">
        <v>7</v>
      </c>
      <c r="C6" s="7">
        <v>10463269669.299999</v>
      </c>
      <c r="D6" s="7">
        <v>0</v>
      </c>
      <c r="E6" s="7">
        <v>212667993.12999988</v>
      </c>
      <c r="F6" s="7">
        <v>388015228.13999999</v>
      </c>
      <c r="G6" s="7">
        <v>3810620014.9099998</v>
      </c>
      <c r="H6" s="4"/>
    </row>
    <row r="7" spans="1:8" x14ac:dyDescent="0.35">
      <c r="A7" s="3"/>
      <c r="B7" s="3" t="s">
        <v>52</v>
      </c>
      <c r="C7" s="8">
        <v>0</v>
      </c>
      <c r="D7" s="8">
        <v>0</v>
      </c>
      <c r="E7" s="8">
        <v>0</v>
      </c>
      <c r="F7" s="8">
        <v>0</v>
      </c>
      <c r="G7" s="8">
        <v>0</v>
      </c>
    </row>
    <row r="8" spans="1:8" x14ac:dyDescent="0.35">
      <c r="A8" s="3"/>
      <c r="B8" s="3" t="s">
        <v>51</v>
      </c>
      <c r="C8" s="8">
        <v>0</v>
      </c>
      <c r="D8" s="8">
        <v>0</v>
      </c>
      <c r="E8" s="8">
        <v>0</v>
      </c>
      <c r="F8" s="8">
        <v>0</v>
      </c>
      <c r="G8" s="9">
        <v>2694984181.6299744</v>
      </c>
    </row>
    <row r="9" spans="1:8" x14ac:dyDescent="0.35">
      <c r="A9" s="3"/>
      <c r="B9" s="3" t="s">
        <v>50</v>
      </c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8" x14ac:dyDescent="0.35">
      <c r="A10" s="3"/>
      <c r="B10" s="3" t="s">
        <v>49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</row>
    <row r="11" spans="1:8" x14ac:dyDescent="0.35">
      <c r="A11" s="3"/>
      <c r="B11" s="3" t="s">
        <v>48</v>
      </c>
      <c r="C11" s="8">
        <v>0</v>
      </c>
      <c r="D11" s="8">
        <v>0</v>
      </c>
      <c r="E11" s="8">
        <v>0</v>
      </c>
      <c r="F11" s="9">
        <v>49524537.350000001</v>
      </c>
      <c r="G11" s="8">
        <v>0</v>
      </c>
    </row>
    <row r="12" spans="1:8" x14ac:dyDescent="0.35">
      <c r="A12" s="3"/>
      <c r="B12" s="3" t="s">
        <v>47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</row>
    <row r="13" spans="1:8" x14ac:dyDescent="0.35">
      <c r="A13" s="3"/>
      <c r="B13" s="3" t="s">
        <v>46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</row>
    <row r="14" spans="1:8" x14ac:dyDescent="0.35">
      <c r="A14" s="3"/>
      <c r="B14" s="3" t="s">
        <v>45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</row>
    <row r="15" spans="1:8" x14ac:dyDescent="0.35">
      <c r="A15" s="3"/>
      <c r="B15" s="3" t="s">
        <v>44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</row>
    <row r="16" spans="1:8" x14ac:dyDescent="0.35">
      <c r="A16" s="3"/>
      <c r="B16" s="3" t="s">
        <v>43</v>
      </c>
      <c r="C16" s="8">
        <v>0</v>
      </c>
      <c r="D16" s="8">
        <v>0</v>
      </c>
      <c r="E16" s="9">
        <v>-465803017.81999999</v>
      </c>
      <c r="F16" s="8">
        <v>0</v>
      </c>
      <c r="G16" s="8">
        <v>0</v>
      </c>
    </row>
    <row r="17" spans="1:8" x14ac:dyDescent="0.35">
      <c r="A17" s="3"/>
      <c r="B17" s="3" t="s">
        <v>42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</row>
    <row r="18" spans="1:8" x14ac:dyDescent="0.35">
      <c r="A18" s="3"/>
      <c r="B18" s="3" t="s">
        <v>41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</row>
    <row r="19" spans="1:8" x14ac:dyDescent="0.35">
      <c r="A19" s="3"/>
      <c r="B19" s="3" t="s">
        <v>40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</row>
    <row r="20" spans="1:8" x14ac:dyDescent="0.35">
      <c r="A20" s="3"/>
      <c r="B20" s="3" t="s">
        <v>39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</row>
    <row r="21" spans="1:8" ht="5.15" customHeight="1" x14ac:dyDescent="0.35">
      <c r="C21" s="5"/>
      <c r="D21" s="5"/>
      <c r="E21" s="5"/>
      <c r="F21" s="5"/>
      <c r="G21" s="5"/>
    </row>
    <row r="22" spans="1:8" x14ac:dyDescent="0.35">
      <c r="A22" s="2" t="s">
        <v>8</v>
      </c>
      <c r="B22" s="2" t="s">
        <v>8</v>
      </c>
      <c r="C22" s="10">
        <f>SUM(C6:C21)</f>
        <v>10463269669.299999</v>
      </c>
      <c r="D22" s="10">
        <f t="shared" ref="D22:G22" si="0">SUM(D6:D21)</f>
        <v>0</v>
      </c>
      <c r="E22" s="10">
        <f t="shared" si="0"/>
        <v>-253135024.69000012</v>
      </c>
      <c r="F22" s="10">
        <f t="shared" si="0"/>
        <v>437539765.49000001</v>
      </c>
      <c r="G22" s="10">
        <f t="shared" si="0"/>
        <v>6505604196.5399742</v>
      </c>
      <c r="H22" s="4"/>
    </row>
    <row r="23" spans="1:8" x14ac:dyDescent="0.35">
      <c r="A23" s="2"/>
      <c r="B23" s="2" t="s">
        <v>38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8" x14ac:dyDescent="0.35">
      <c r="A24" s="2"/>
      <c r="B24" s="2" t="s">
        <v>37</v>
      </c>
      <c r="C24" s="7">
        <f>C22</f>
        <v>10463269669.299999</v>
      </c>
      <c r="D24" s="7">
        <f t="shared" ref="D24:G24" si="1">D22</f>
        <v>0</v>
      </c>
      <c r="E24" s="7">
        <f t="shared" si="1"/>
        <v>-253135024.69000012</v>
      </c>
      <c r="F24" s="7">
        <f t="shared" si="1"/>
        <v>437539765.49000001</v>
      </c>
      <c r="G24" s="7">
        <f t="shared" si="1"/>
        <v>6505604196.5399742</v>
      </c>
    </row>
    <row r="25" spans="1:8" ht="5.15" customHeight="1" x14ac:dyDescent="0.35">
      <c r="C25" s="5"/>
      <c r="D25" s="5"/>
      <c r="E25" s="5"/>
      <c r="F25" s="5"/>
      <c r="G25" s="5"/>
    </row>
    <row r="26" spans="1:8" x14ac:dyDescent="0.35">
      <c r="A26" s="3" t="s">
        <v>9</v>
      </c>
      <c r="B26" s="3" t="s">
        <v>9</v>
      </c>
      <c r="C26" s="7">
        <f>C24</f>
        <v>10463269669.299999</v>
      </c>
      <c r="D26" s="7">
        <v>0</v>
      </c>
      <c r="E26" s="7">
        <f>E24</f>
        <v>-253135024.69000012</v>
      </c>
      <c r="F26" s="7">
        <f>F24</f>
        <v>437539765.49000001</v>
      </c>
      <c r="G26" s="7">
        <f>G24</f>
        <v>6505604196.5399742</v>
      </c>
      <c r="H26" s="4"/>
    </row>
    <row r="27" spans="1:8" x14ac:dyDescent="0.35">
      <c r="A27" s="3"/>
      <c r="B27" s="3" t="s">
        <v>36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8" x14ac:dyDescent="0.35">
      <c r="A28" s="3"/>
      <c r="B28" s="3" t="s">
        <v>35</v>
      </c>
      <c r="C28" s="5">
        <v>0</v>
      </c>
      <c r="D28" s="5">
        <v>0</v>
      </c>
      <c r="E28" s="5">
        <v>0</v>
      </c>
      <c r="F28" s="5">
        <v>0</v>
      </c>
      <c r="G28" s="11">
        <v>-909442690.03997397</v>
      </c>
    </row>
    <row r="29" spans="1:8" ht="5.15" customHeight="1" x14ac:dyDescent="0.35">
      <c r="C29" s="5"/>
      <c r="D29" s="5"/>
      <c r="E29" s="5"/>
      <c r="F29" s="5"/>
      <c r="G29" s="5"/>
    </row>
    <row r="30" spans="1:8" x14ac:dyDescent="0.35">
      <c r="A30" s="2" t="s">
        <v>10</v>
      </c>
      <c r="B30" s="2" t="s">
        <v>10</v>
      </c>
      <c r="C30" s="7">
        <v>10463269669.299999</v>
      </c>
      <c r="D30" s="7">
        <v>0</v>
      </c>
      <c r="E30" s="7">
        <v>-253135024.69000012</v>
      </c>
      <c r="F30" s="7">
        <v>437539765.49000001</v>
      </c>
      <c r="G30" s="7">
        <v>5596161506.5</v>
      </c>
      <c r="H30" s="4"/>
    </row>
    <row r="31" spans="1:8" ht="5.15" customHeight="1" x14ac:dyDescent="0.35">
      <c r="C31" s="5"/>
      <c r="D31" s="5"/>
      <c r="E31" s="5"/>
      <c r="F31" s="5"/>
      <c r="G31" s="5"/>
    </row>
    <row r="32" spans="1:8" ht="15" customHeight="1" x14ac:dyDescent="0.35">
      <c r="A32" s="3" t="s">
        <v>3</v>
      </c>
      <c r="B32" s="3" t="s">
        <v>3</v>
      </c>
      <c r="C32" s="8">
        <f>SUM(C33:C37)</f>
        <v>0</v>
      </c>
      <c r="D32" s="8">
        <f t="shared" ref="D32:F32" si="2">SUM(D33:D37)</f>
        <v>0</v>
      </c>
      <c r="E32" s="8">
        <f t="shared" si="2"/>
        <v>437155445.91000009</v>
      </c>
      <c r="F32" s="8">
        <f t="shared" si="2"/>
        <v>0</v>
      </c>
      <c r="G32" s="8">
        <v>0</v>
      </c>
    </row>
    <row r="33" spans="1:7" ht="15" customHeight="1" x14ac:dyDescent="0.35">
      <c r="A33" s="3"/>
      <c r="B33" s="3" t="s">
        <v>34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</row>
    <row r="34" spans="1:7" x14ac:dyDescent="0.35">
      <c r="A34" s="3"/>
      <c r="B34" s="3" t="s">
        <v>33</v>
      </c>
      <c r="C34" s="8">
        <v>0</v>
      </c>
      <c r="D34" s="8">
        <v>0</v>
      </c>
      <c r="E34" s="12">
        <v>437155445.91000009</v>
      </c>
      <c r="F34" s="8">
        <v>0</v>
      </c>
      <c r="G34" s="8">
        <v>0</v>
      </c>
    </row>
    <row r="35" spans="1:7" x14ac:dyDescent="0.35">
      <c r="A35" s="3"/>
      <c r="B35" s="3" t="s">
        <v>32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</row>
    <row r="36" spans="1:7" x14ac:dyDescent="0.35">
      <c r="A36" s="3"/>
      <c r="B36" s="3" t="s">
        <v>31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</row>
    <row r="37" spans="1:7" x14ac:dyDescent="0.35">
      <c r="A37" s="3"/>
      <c r="B37" s="3" t="s">
        <v>30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</row>
    <row r="38" spans="1:7" ht="5.15" customHeight="1" x14ac:dyDescent="0.35">
      <c r="C38" s="8"/>
      <c r="D38" s="8"/>
      <c r="E38" s="8"/>
      <c r="F38" s="8"/>
      <c r="G38" s="8"/>
    </row>
    <row r="39" spans="1:7" x14ac:dyDescent="0.35">
      <c r="A39" s="2" t="s">
        <v>11</v>
      </c>
      <c r="B39" s="2" t="s">
        <v>11</v>
      </c>
      <c r="C39" s="5">
        <f>SUM(C40:C55)</f>
        <v>0</v>
      </c>
      <c r="D39" s="5">
        <f t="shared" ref="D39:G39" si="3">SUM(D40:D55)</f>
        <v>0</v>
      </c>
      <c r="E39" s="5">
        <f t="shared" si="3"/>
        <v>0</v>
      </c>
      <c r="F39" s="5">
        <f t="shared" si="3"/>
        <v>93975867.980000019</v>
      </c>
      <c r="G39" s="5">
        <f t="shared" si="3"/>
        <v>1125770825.0899963</v>
      </c>
    </row>
    <row r="40" spans="1:7" x14ac:dyDescent="0.35">
      <c r="A40" s="2"/>
      <c r="B40" s="2" t="s">
        <v>29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</row>
    <row r="41" spans="1:7" x14ac:dyDescent="0.35">
      <c r="A41" s="2"/>
      <c r="B41" s="2" t="s">
        <v>28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</row>
    <row r="42" spans="1:7" x14ac:dyDescent="0.35">
      <c r="A42" s="2"/>
      <c r="B42" s="2" t="s">
        <v>27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</row>
    <row r="43" spans="1:7" x14ac:dyDescent="0.35">
      <c r="A43" s="2"/>
      <c r="B43" s="2" t="s">
        <v>26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</row>
    <row r="44" spans="1:7" x14ac:dyDescent="0.35">
      <c r="A44" s="2"/>
      <c r="B44" s="2" t="s">
        <v>25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</row>
    <row r="45" spans="1:7" x14ac:dyDescent="0.35">
      <c r="A45" s="2"/>
      <c r="B45" s="2" t="s">
        <v>24</v>
      </c>
      <c r="C45" s="8">
        <v>0</v>
      </c>
      <c r="D45" s="8">
        <v>0</v>
      </c>
      <c r="E45" s="8">
        <v>0</v>
      </c>
      <c r="F45" s="8">
        <v>0</v>
      </c>
      <c r="G45" s="12">
        <v>1125770825.0899963</v>
      </c>
    </row>
    <row r="46" spans="1:7" x14ac:dyDescent="0.35">
      <c r="A46" s="2"/>
      <c r="B46" s="2" t="s">
        <v>23</v>
      </c>
      <c r="C46" s="8">
        <v>0</v>
      </c>
      <c r="D46" s="8">
        <v>0</v>
      </c>
      <c r="E46" s="8">
        <v>0</v>
      </c>
      <c r="F46" s="9">
        <v>93975867.980000019</v>
      </c>
      <c r="G46" s="8">
        <v>0</v>
      </c>
    </row>
    <row r="47" spans="1:7" x14ac:dyDescent="0.35">
      <c r="A47" s="2"/>
      <c r="B47" s="2" t="s">
        <v>22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</row>
    <row r="48" spans="1:7" x14ac:dyDescent="0.35">
      <c r="A48" s="2"/>
      <c r="B48" s="2" t="s">
        <v>21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</row>
    <row r="49" spans="1:8" x14ac:dyDescent="0.35">
      <c r="A49" s="2"/>
      <c r="B49" s="2" t="s">
        <v>20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</row>
    <row r="50" spans="1:8" x14ac:dyDescent="0.35">
      <c r="A50" s="2"/>
      <c r="B50" s="2" t="s">
        <v>19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</row>
    <row r="51" spans="1:8" x14ac:dyDescent="0.35">
      <c r="A51" s="2"/>
      <c r="B51" s="2" t="s">
        <v>18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</row>
    <row r="52" spans="1:8" x14ac:dyDescent="0.35">
      <c r="A52" s="2"/>
      <c r="B52" s="2" t="s">
        <v>17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</row>
    <row r="53" spans="1:8" x14ac:dyDescent="0.35">
      <c r="A53" s="2"/>
      <c r="B53" s="2" t="s">
        <v>16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</row>
    <row r="54" spans="1:8" x14ac:dyDescent="0.35">
      <c r="A54" s="2"/>
      <c r="B54" s="2" t="s">
        <v>15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</row>
    <row r="55" spans="1:8" ht="5.15" customHeight="1" x14ac:dyDescent="0.35">
      <c r="C55" s="5"/>
      <c r="D55" s="5"/>
      <c r="E55" s="5"/>
      <c r="F55" s="5"/>
      <c r="G55" s="5"/>
    </row>
    <row r="56" spans="1:8" x14ac:dyDescent="0.35">
      <c r="A56" s="3" t="s">
        <v>12</v>
      </c>
      <c r="B56" s="3" t="s">
        <v>12</v>
      </c>
      <c r="C56" s="7">
        <f>C30+C32+C39</f>
        <v>10463269669.299999</v>
      </c>
      <c r="D56" s="7">
        <f t="shared" ref="D56:F56" si="4">D30+D32+D39</f>
        <v>0</v>
      </c>
      <c r="E56" s="7">
        <f>E30+E32+E39</f>
        <v>184020421.21999997</v>
      </c>
      <c r="F56" s="7">
        <f t="shared" si="4"/>
        <v>531515633.47000003</v>
      </c>
      <c r="G56" s="7">
        <f>G30+G32+G39</f>
        <v>6721932331.5899963</v>
      </c>
      <c r="H56" s="4"/>
    </row>
    <row r="57" spans="1:8" x14ac:dyDescent="0.35">
      <c r="A57" s="3"/>
      <c r="B57" s="3" t="s">
        <v>13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8" x14ac:dyDescent="0.35">
      <c r="A58" s="3"/>
      <c r="B58" s="3" t="s">
        <v>14</v>
      </c>
      <c r="C58" s="7">
        <f>C56</f>
        <v>10463269669.299999</v>
      </c>
      <c r="D58" s="7">
        <f t="shared" ref="D58:G58" si="5">D56</f>
        <v>0</v>
      </c>
      <c r="E58" s="7">
        <f t="shared" si="5"/>
        <v>184020421.21999997</v>
      </c>
      <c r="F58" s="7">
        <f t="shared" si="5"/>
        <v>531515633.47000003</v>
      </c>
      <c r="G58" s="7">
        <f t="shared" si="5"/>
        <v>6721932331.5899963</v>
      </c>
      <c r="H5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Laura Durán Rodríguez</cp:lastModifiedBy>
  <dcterms:created xsi:type="dcterms:W3CDTF">2018-01-19T02:54:30Z</dcterms:created>
  <dcterms:modified xsi:type="dcterms:W3CDTF">2025-10-08T17:09:52Z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